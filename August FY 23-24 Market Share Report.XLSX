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 Market Share Report\"/>
    </mc:Choice>
  </mc:AlternateContent>
  <bookViews>
    <workbookView xWindow="0" yWindow="0" windowWidth="21860" windowHeight="14940" activeTab="1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G18" i="2" l="1"/>
  <c r="G17" i="2"/>
  <c r="D17" i="2"/>
  <c r="G16" i="2"/>
  <c r="D16" i="2"/>
  <c r="G15" i="2"/>
  <c r="D15" i="2"/>
  <c r="G14" i="2"/>
  <c r="D14" i="2"/>
  <c r="G13" i="2"/>
  <c r="D13" i="2"/>
  <c r="G8" i="2"/>
  <c r="D8" i="2"/>
  <c r="G7" i="2"/>
  <c r="D7" i="2"/>
  <c r="G6" i="2"/>
  <c r="D6" i="2"/>
  <c r="G5" i="2"/>
  <c r="D5" i="2"/>
  <c r="G4" i="2"/>
  <c r="D4" i="2"/>
</calcChain>
</file>

<file path=xl/sharedStrings.xml><?xml version="1.0" encoding="utf-8"?>
<sst xmlns="http://schemas.openxmlformats.org/spreadsheetml/2006/main" count="714" uniqueCount="241">
  <si>
    <t/>
  </si>
  <si>
    <t>Comp Off take</t>
  </si>
  <si>
    <t>Al Retail</t>
  </si>
  <si>
    <t>Tiv Retail</t>
  </si>
  <si>
    <t>4X2 FF HAULAGE</t>
  </si>
  <si>
    <t>48</t>
  </si>
  <si>
    <t>13</t>
  </si>
  <si>
    <t>61</t>
  </si>
  <si>
    <t>21.31</t>
  </si>
  <si>
    <t>21</t>
  </si>
  <si>
    <t>69</t>
  </si>
  <si>
    <t>30.43</t>
  </si>
  <si>
    <t>0</t>
  </si>
  <si>
    <t>20</t>
  </si>
  <si>
    <t>8</t>
  </si>
  <si>
    <t>28</t>
  </si>
  <si>
    <t>0</t>
  </si>
  <si>
    <t>1</t>
  </si>
  <si>
    <t>2</t>
  </si>
  <si>
    <t>3</t>
  </si>
  <si>
    <t>4</t>
  </si>
  <si>
    <t>5</t>
  </si>
  <si>
    <t>6</t>
  </si>
  <si>
    <t>HAULAGE Total</t>
  </si>
  <si>
    <t>10X4 TIPPER</t>
  </si>
  <si>
    <t>30</t>
  </si>
  <si>
    <t>12</t>
  </si>
  <si>
    <t>42</t>
  </si>
  <si>
    <t>28.57</t>
  </si>
  <si>
    <t>16</t>
  </si>
  <si>
    <t>46</t>
  </si>
  <si>
    <t>34.78</t>
  </si>
  <si>
    <t>10</t>
  </si>
  <si>
    <t>13</t>
  </si>
  <si>
    <t>11</t>
  </si>
  <si>
    <t>7</t>
  </si>
  <si>
    <t>10X2 TIPPER</t>
  </si>
  <si>
    <t>0</t>
  </si>
  <si>
    <t>8X2 TIPPER</t>
  </si>
  <si>
    <t>8X4 TIPPER</t>
  </si>
  <si>
    <t>72</t>
  </si>
  <si>
    <t>62</t>
  </si>
  <si>
    <t>134</t>
  </si>
  <si>
    <t>46.27</t>
  </si>
  <si>
    <t>34</t>
  </si>
  <si>
    <t>106</t>
  </si>
  <si>
    <t>32.08</t>
  </si>
  <si>
    <t>24</t>
  </si>
  <si>
    <t>6X4 TIPPER</t>
  </si>
  <si>
    <t>63</t>
  </si>
  <si>
    <t>30</t>
  </si>
  <si>
    <t>93</t>
  </si>
  <si>
    <t>32.26</t>
  </si>
  <si>
    <t>41</t>
  </si>
  <si>
    <t>104</t>
  </si>
  <si>
    <t>39.42</t>
  </si>
  <si>
    <t>17</t>
  </si>
  <si>
    <t>23</t>
  </si>
  <si>
    <t>4X2 FF TIPPER</t>
  </si>
  <si>
    <t>2</t>
  </si>
  <si>
    <t>14</t>
  </si>
  <si>
    <t>85.71</t>
  </si>
  <si>
    <t>7</t>
  </si>
  <si>
    <t>9</t>
  </si>
  <si>
    <t>77.78</t>
  </si>
  <si>
    <t>TIPPER Total</t>
  </si>
  <si>
    <t>167</t>
  </si>
  <si>
    <t>116</t>
  </si>
  <si>
    <t>283</t>
  </si>
  <si>
    <t>40.99</t>
  </si>
  <si>
    <t>98</t>
  </si>
  <si>
    <t>265</t>
  </si>
  <si>
    <t>36.98</t>
  </si>
  <si>
    <t>19</t>
  </si>
  <si>
    <t>30</t>
  </si>
  <si>
    <t>42</t>
  </si>
  <si>
    <t>52</t>
  </si>
  <si>
    <t>18</t>
  </si>
  <si>
    <t>14</t>
  </si>
  <si>
    <t>40T TRACTOR (4X</t>
  </si>
  <si>
    <t>54</t>
  </si>
  <si>
    <t>59</t>
  </si>
  <si>
    <t>113</t>
  </si>
  <si>
    <t>52.21</t>
  </si>
  <si>
    <t>66</t>
  </si>
  <si>
    <t>120</t>
  </si>
  <si>
    <t>55.00</t>
  </si>
  <si>
    <t>60</t>
  </si>
  <si>
    <t>46T TRACTOR (4X</t>
  </si>
  <si>
    <t>10</t>
  </si>
  <si>
    <t>10</t>
  </si>
  <si>
    <t>0.00</t>
  </si>
  <si>
    <t>2</t>
  </si>
  <si>
    <t>16.67</t>
  </si>
  <si>
    <t>12</t>
  </si>
  <si>
    <t>55T TRACTOR (6X</t>
  </si>
  <si>
    <t>39</t>
  </si>
  <si>
    <t>20</t>
  </si>
  <si>
    <t>33.90</t>
  </si>
  <si>
    <t>23</t>
  </si>
  <si>
    <t>37.10</t>
  </si>
  <si>
    <t>32</t>
  </si>
  <si>
    <t>55T TRACTOR (4X</t>
  </si>
  <si>
    <t>1</t>
  </si>
  <si>
    <t>100.00</t>
  </si>
  <si>
    <t>30T TRACTOR (4X</t>
  </si>
  <si>
    <t>54T TRACTOR (4X</t>
  </si>
  <si>
    <t>52T TRACTOR</t>
  </si>
  <si>
    <t>44T TRACTOR (4X</t>
  </si>
  <si>
    <t>42T TRACTOR</t>
  </si>
  <si>
    <t>TRACTOR Total</t>
  </si>
  <si>
    <t>103</t>
  </si>
  <si>
    <t>80</t>
  </si>
  <si>
    <t>183</t>
  </si>
  <si>
    <t>43.72</t>
  </si>
  <si>
    <t>92</t>
  </si>
  <si>
    <t>195</t>
  </si>
  <si>
    <t>47.18</t>
  </si>
  <si>
    <t>34</t>
  </si>
  <si>
    <t>6X2 MAV</t>
  </si>
  <si>
    <t>20</t>
  </si>
  <si>
    <t>33</t>
  </si>
  <si>
    <t>53</t>
  </si>
  <si>
    <t>62.26</t>
  </si>
  <si>
    <t>31</t>
  </si>
  <si>
    <t>51</t>
  </si>
  <si>
    <t>60.78</t>
  </si>
  <si>
    <t>8X2 MAV</t>
  </si>
  <si>
    <t>1</t>
  </si>
  <si>
    <t>4</t>
  </si>
  <si>
    <t>5</t>
  </si>
  <si>
    <t>80.00</t>
  </si>
  <si>
    <t>6</t>
  </si>
  <si>
    <t>10X2 MAV</t>
  </si>
  <si>
    <t>12</t>
  </si>
  <si>
    <t>18</t>
  </si>
  <si>
    <t>33.33</t>
  </si>
  <si>
    <t>39</t>
  </si>
  <si>
    <t>76.47</t>
  </si>
  <si>
    <t>6X4 MAV</t>
  </si>
  <si>
    <t>MAV Total</t>
  </si>
  <si>
    <t>33</t>
  </si>
  <si>
    <t>43</t>
  </si>
  <si>
    <t>76</t>
  </si>
  <si>
    <t>56.58</t>
  </si>
  <si>
    <t>109</t>
  </si>
  <si>
    <t>69.72</t>
  </si>
  <si>
    <t>33</t>
  </si>
  <si>
    <t>47</t>
  </si>
  <si>
    <t>15T</t>
  </si>
  <si>
    <t>25</t>
  </si>
  <si>
    <t>58</t>
  </si>
  <si>
    <t>43.10</t>
  </si>
  <si>
    <t>27</t>
  </si>
  <si>
    <t>60</t>
  </si>
  <si>
    <t>45.00</t>
  </si>
  <si>
    <t>43</t>
  </si>
  <si>
    <t>12T</t>
  </si>
  <si>
    <t>128</t>
  </si>
  <si>
    <t>179</t>
  </si>
  <si>
    <t>28.49</t>
  </si>
  <si>
    <t>50</t>
  </si>
  <si>
    <t>178</t>
  </si>
  <si>
    <t>28.09</t>
  </si>
  <si>
    <t>95</t>
  </si>
  <si>
    <t>127</t>
  </si>
  <si>
    <t>10T</t>
  </si>
  <si>
    <t>67</t>
  </si>
  <si>
    <t>2.90</t>
  </si>
  <si>
    <t>74</t>
  </si>
  <si>
    <t>9.46</t>
  </si>
  <si>
    <t>63</t>
  </si>
  <si>
    <t>70</t>
  </si>
  <si>
    <t>ICV TRUCK Total</t>
  </si>
  <si>
    <t>228</t>
  </si>
  <si>
    <t>78</t>
  </si>
  <si>
    <t>306</t>
  </si>
  <si>
    <t>25.49</t>
  </si>
  <si>
    <t>84</t>
  </si>
  <si>
    <t>312</t>
  </si>
  <si>
    <t>26.92</t>
  </si>
  <si>
    <t>182</t>
  </si>
  <si>
    <t>58</t>
  </si>
  <si>
    <t>240</t>
  </si>
  <si>
    <t>15</t>
  </si>
  <si>
    <t>ICV BUS</t>
  </si>
  <si>
    <t>31</t>
  </si>
  <si>
    <t>81</t>
  </si>
  <si>
    <t>61.73</t>
  </si>
  <si>
    <t>90</t>
  </si>
  <si>
    <t>65.56</t>
  </si>
  <si>
    <t>ICV BUS Total</t>
  </si>
  <si>
    <t>MCV BUS</t>
  </si>
  <si>
    <t>83</t>
  </si>
  <si>
    <t>114</t>
  </si>
  <si>
    <t>72.81</t>
  </si>
  <si>
    <t>64</t>
  </si>
  <si>
    <t>95</t>
  </si>
  <si>
    <t>67.37</t>
  </si>
  <si>
    <t>MCV BUS Total</t>
  </si>
  <si>
    <t>Totals</t>
  </si>
  <si>
    <t>641</t>
  </si>
  <si>
    <t>463</t>
  </si>
  <si>
    <t>1104</t>
  </si>
  <si>
    <t>41.94</t>
  </si>
  <si>
    <t>494</t>
  </si>
  <si>
    <t>1135</t>
  </si>
  <si>
    <t>43.52</t>
  </si>
  <si>
    <t>79</t>
  </si>
  <si>
    <t>93</t>
  </si>
  <si>
    <t>172</t>
  </si>
  <si>
    <t>45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</si>
  <si>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</si>
  <si>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</si>
  <si>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</si>
  <si>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</si>
  <si>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</si>
  <si>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</si>
  <si>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</si>
  <si>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</si>
  <si>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</si>
  <si>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</si>
  <si>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</si>
  <si>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</si>
  <si>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</si>
  <si>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</si>
  <si>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</si>
  <si>
    <t>Pondy</t>
  </si>
  <si>
    <t>Villupuram</t>
  </si>
  <si>
    <t>AL</t>
  </si>
  <si>
    <t>TIV</t>
  </si>
  <si>
    <t>MS %</t>
  </si>
  <si>
    <t>MS%</t>
  </si>
  <si>
    <t>4x2 Tipper</t>
  </si>
  <si>
    <t>6x4 Tipper</t>
  </si>
  <si>
    <t xml:space="preserve">8x4 Tipper </t>
  </si>
  <si>
    <t>10x4 Tipper</t>
  </si>
  <si>
    <t xml:space="preserve">Tipper Total </t>
  </si>
  <si>
    <t>4X2 Haulage</t>
  </si>
  <si>
    <t>Tractors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</si>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</sst>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vertical="top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5"/>
  <sheetViews>
    <sheetView topLeftCell="A12" workbookViewId="0">
      <selection activeCell="AH22" sqref="AH22:AL26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21" bestFit="1" customWidth="1"/>
    <col min="20" max="21" width="16" bestFit="1" customWidth="1"/>
    <col min="22" max="24" width="25" hidden="1" customWidth="1"/>
    <col min="25" max="27" width="22" hidden="1" customWidth="1"/>
    <col min="28" max="28" width="25" style="21" bestFit="1" customWidth="1"/>
    <col min="29" max="30" width="25" bestFit="1" customWidth="1"/>
    <col min="31" max="33" width="19" hidden="1" customWidth="1"/>
    <col min="34" max="34" width="13.81640625" bestFit="1" customWidth="1"/>
  </cols>
  <sheetData>
    <row r="1" spans="1:38" ht="25" x14ac:dyDescent="0.25">
      <c r="A1" s="16" t="s">
        <v>212</v>
      </c>
      <c r="B1" s="16" t="s">
        <v>213</v>
      </c>
      <c r="C1" s="16" t="s">
        <v>214</v>
      </c>
      <c r="D1" s="16" t="s">
        <v>215</v>
      </c>
      <c r="E1" s="16" t="s">
        <v>216</v>
      </c>
      <c r="F1" s="16" t="s">
        <v>2</v>
      </c>
      <c r="G1" s="16" t="s">
        <v>3</v>
      </c>
      <c r="H1" s="16" t="s">
        <v>217</v>
      </c>
      <c r="I1" s="16" t="s">
        <v>218</v>
      </c>
      <c r="J1" s="16" t="s">
        <v>219</v>
      </c>
      <c r="K1" s="16" t="s">
        <v>219</v>
      </c>
      <c r="L1" s="16" t="s">
        <v>219</v>
      </c>
      <c r="M1" s="17" t="s">
        <v>220</v>
      </c>
      <c r="N1" s="17" t="s">
        <v>220</v>
      </c>
      <c r="O1" s="17" t="s">
        <v>220</v>
      </c>
      <c r="P1" s="16" t="s">
        <v>221</v>
      </c>
      <c r="Q1" s="16" t="s">
        <v>221</v>
      </c>
      <c r="R1" s="16" t="s">
        <v>221</v>
      </c>
      <c r="S1" s="18" t="s">
        <v>222</v>
      </c>
      <c r="T1" s="17" t="s">
        <v>222</v>
      </c>
      <c r="U1" s="17" t="s">
        <v>222</v>
      </c>
      <c r="V1" s="16" t="s">
        <v>223</v>
      </c>
      <c r="W1" s="16" t="s">
        <v>223</v>
      </c>
      <c r="X1" s="16" t="s">
        <v>223</v>
      </c>
      <c r="Y1" s="16" t="s">
        <v>224</v>
      </c>
      <c r="Z1" s="16" t="s">
        <v>224</v>
      </c>
      <c r="AA1" s="16" t="s">
        <v>224</v>
      </c>
      <c r="AB1" s="22" t="s">
        <v>225</v>
      </c>
      <c r="AC1" s="16" t="s">
        <v>225</v>
      </c>
      <c r="AD1" s="16" t="s">
        <v>225</v>
      </c>
      <c r="AE1" s="16" t="s">
        <v>226</v>
      </c>
      <c r="AF1" s="16" t="s">
        <v>226</v>
      </c>
      <c r="AG1" s="16" t="s">
        <v>226</v>
      </c>
    </row>
    <row r="2" spans="1:38" x14ac:dyDescent="0.25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1</v>
      </c>
      <c r="K2" s="3" t="s">
        <v>2</v>
      </c>
      <c r="L2" s="3" t="s">
        <v>3</v>
      </c>
      <c r="M2" s="3" t="s">
        <v>1</v>
      </c>
      <c r="N2" s="3" t="s">
        <v>2</v>
      </c>
      <c r="O2" s="3" t="s">
        <v>3</v>
      </c>
      <c r="P2" s="3" t="s">
        <v>1</v>
      </c>
      <c r="Q2" s="3" t="s">
        <v>2</v>
      </c>
      <c r="R2" s="3" t="s">
        <v>3</v>
      </c>
      <c r="S2" s="19" t="s">
        <v>1</v>
      </c>
      <c r="T2" s="3" t="s">
        <v>2</v>
      </c>
      <c r="U2" s="3" t="s">
        <v>3</v>
      </c>
      <c r="V2" s="3" t="s">
        <v>1</v>
      </c>
      <c r="W2" s="3" t="s">
        <v>2</v>
      </c>
      <c r="X2" s="3" t="s">
        <v>3</v>
      </c>
      <c r="Y2" s="3" t="s">
        <v>1</v>
      </c>
      <c r="Z2" s="3" t="s">
        <v>2</v>
      </c>
      <c r="AA2" s="3" t="s">
        <v>3</v>
      </c>
      <c r="AB2" s="19" t="s">
        <v>1</v>
      </c>
      <c r="AC2" s="3" t="s">
        <v>2</v>
      </c>
      <c r="AD2" s="3" t="s">
        <v>3</v>
      </c>
      <c r="AE2" s="3" t="s">
        <v>1</v>
      </c>
      <c r="AF2" s="3" t="s">
        <v>2</v>
      </c>
      <c r="AG2" s="3" t="s">
        <v>3</v>
      </c>
    </row>
    <row r="3" spans="1:3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16</v>
      </c>
      <c r="O3" s="3" t="s">
        <v>16</v>
      </c>
      <c r="P3" s="3" t="s">
        <v>16</v>
      </c>
      <c r="Q3" s="3" t="s">
        <v>16</v>
      </c>
      <c r="R3" s="3" t="s">
        <v>16</v>
      </c>
      <c r="S3" s="20">
        <v>1</v>
      </c>
      <c r="T3" s="4">
        <v>2</v>
      </c>
      <c r="U3" s="4">
        <v>3</v>
      </c>
      <c r="V3" s="4">
        <v>22</v>
      </c>
      <c r="W3" s="4">
        <v>4</v>
      </c>
      <c r="X3" s="4">
        <v>26</v>
      </c>
      <c r="Y3" s="4">
        <v>1</v>
      </c>
      <c r="Z3" s="4">
        <v>5</v>
      </c>
      <c r="AA3" s="4">
        <v>6</v>
      </c>
      <c r="AB3" s="20">
        <v>4</v>
      </c>
      <c r="AC3" s="4">
        <v>2</v>
      </c>
      <c r="AD3" s="4">
        <v>6</v>
      </c>
      <c r="AE3" s="4">
        <v>0</v>
      </c>
      <c r="AF3" s="4">
        <v>0</v>
      </c>
      <c r="AG3" s="4">
        <v>0</v>
      </c>
    </row>
    <row r="4" spans="1:38" x14ac:dyDescent="0.25">
      <c r="A4" s="3" t="s">
        <v>23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16</v>
      </c>
      <c r="O4" s="3" t="s">
        <v>16</v>
      </c>
      <c r="P4" s="3" t="s">
        <v>16</v>
      </c>
      <c r="Q4" s="3" t="s">
        <v>16</v>
      </c>
      <c r="R4" s="3" t="s">
        <v>16</v>
      </c>
      <c r="S4" s="20">
        <v>1</v>
      </c>
      <c r="T4" s="4">
        <v>2</v>
      </c>
      <c r="U4" s="4">
        <v>3</v>
      </c>
      <c r="V4" s="4">
        <v>22</v>
      </c>
      <c r="W4" s="4">
        <v>4</v>
      </c>
      <c r="X4" s="4">
        <v>26</v>
      </c>
      <c r="Y4" s="4">
        <v>1</v>
      </c>
      <c r="Z4" s="4">
        <v>5</v>
      </c>
      <c r="AA4" s="4">
        <v>6</v>
      </c>
      <c r="AB4" s="20">
        <v>4</v>
      </c>
      <c r="AC4" s="4">
        <v>2</v>
      </c>
      <c r="AD4" s="4">
        <v>6</v>
      </c>
      <c r="AE4" s="4">
        <v>0</v>
      </c>
      <c r="AF4" s="4">
        <v>0</v>
      </c>
      <c r="AG4" s="4">
        <v>0</v>
      </c>
    </row>
    <row r="5" spans="1:38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12</v>
      </c>
      <c r="J5" s="3" t="s">
        <v>19</v>
      </c>
      <c r="K5" s="3" t="s">
        <v>32</v>
      </c>
      <c r="L5" s="3" t="s">
        <v>33</v>
      </c>
      <c r="M5" s="3" t="s">
        <v>16</v>
      </c>
      <c r="N5" s="3" t="s">
        <v>16</v>
      </c>
      <c r="O5" s="3" t="s">
        <v>16</v>
      </c>
      <c r="P5" s="3" t="s">
        <v>21</v>
      </c>
      <c r="Q5" s="3" t="s">
        <v>16</v>
      </c>
      <c r="R5" s="3" t="s">
        <v>21</v>
      </c>
      <c r="S5" s="20">
        <v>1</v>
      </c>
      <c r="T5" s="4">
        <v>1</v>
      </c>
      <c r="U5" s="4">
        <v>2</v>
      </c>
      <c r="V5" s="4">
        <v>11</v>
      </c>
      <c r="W5" s="4">
        <v>2</v>
      </c>
      <c r="X5" s="4">
        <v>13</v>
      </c>
      <c r="Y5" s="4">
        <v>4</v>
      </c>
      <c r="Z5" s="4">
        <v>3</v>
      </c>
      <c r="AA5" s="4">
        <v>7</v>
      </c>
      <c r="AB5" s="20">
        <v>2</v>
      </c>
      <c r="AC5" s="4">
        <v>0</v>
      </c>
      <c r="AD5" s="4">
        <v>2</v>
      </c>
      <c r="AE5" s="4">
        <v>4</v>
      </c>
      <c r="AF5" s="4">
        <v>0</v>
      </c>
      <c r="AG5" s="4">
        <v>4</v>
      </c>
      <c r="AH5" s="3" t="s">
        <v>24</v>
      </c>
      <c r="AI5" s="4">
        <v>1</v>
      </c>
      <c r="AJ5" s="4">
        <v>2</v>
      </c>
      <c r="AK5" s="4">
        <v>0</v>
      </c>
      <c r="AL5" s="4">
        <v>2</v>
      </c>
    </row>
    <row r="6" spans="1:38" x14ac:dyDescent="0.25">
      <c r="A6" s="3" t="s">
        <v>36</v>
      </c>
      <c r="B6" s="3" t="s">
        <v>12</v>
      </c>
      <c r="C6" s="3" t="s">
        <v>0</v>
      </c>
      <c r="D6" s="3" t="s">
        <v>37</v>
      </c>
      <c r="E6" s="3" t="s">
        <v>37</v>
      </c>
      <c r="F6" s="3" t="s">
        <v>0</v>
      </c>
      <c r="G6" s="3" t="s">
        <v>37</v>
      </c>
      <c r="H6" s="3" t="s">
        <v>37</v>
      </c>
      <c r="I6" s="3" t="s">
        <v>12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3" t="s">
        <v>16</v>
      </c>
      <c r="R6" s="3" t="s">
        <v>16</v>
      </c>
      <c r="S6" s="20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20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3" t="s">
        <v>36</v>
      </c>
      <c r="AI6" s="4">
        <v>0</v>
      </c>
      <c r="AJ6" s="4">
        <v>0</v>
      </c>
      <c r="AK6" s="4">
        <v>0</v>
      </c>
      <c r="AL6" s="4">
        <v>0</v>
      </c>
    </row>
    <row r="7" spans="1:38" x14ac:dyDescent="0.25">
      <c r="A7" s="3" t="s">
        <v>38</v>
      </c>
      <c r="B7" s="3" t="s">
        <v>12</v>
      </c>
      <c r="C7" s="3" t="s">
        <v>0</v>
      </c>
      <c r="D7" s="3" t="s">
        <v>37</v>
      </c>
      <c r="E7" s="3" t="s">
        <v>37</v>
      </c>
      <c r="F7" s="3" t="s">
        <v>0</v>
      </c>
      <c r="G7" s="3" t="s">
        <v>37</v>
      </c>
      <c r="H7" s="3" t="s">
        <v>37</v>
      </c>
      <c r="I7" s="3" t="s">
        <v>12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  <c r="P7" s="3" t="s">
        <v>16</v>
      </c>
      <c r="Q7" s="3" t="s">
        <v>16</v>
      </c>
      <c r="R7" s="3" t="s">
        <v>16</v>
      </c>
      <c r="S7" s="20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20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3" t="s">
        <v>38</v>
      </c>
      <c r="AI7" s="4">
        <v>0</v>
      </c>
      <c r="AJ7" s="4">
        <v>0</v>
      </c>
      <c r="AK7" s="4">
        <v>0</v>
      </c>
      <c r="AL7" s="4">
        <v>0</v>
      </c>
    </row>
    <row r="8" spans="1:38" x14ac:dyDescent="0.25">
      <c r="A8" s="3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12</v>
      </c>
      <c r="J8" s="3" t="s">
        <v>22</v>
      </c>
      <c r="K8" s="3" t="s">
        <v>20</v>
      </c>
      <c r="L8" s="3" t="s">
        <v>32</v>
      </c>
      <c r="M8" s="3" t="s">
        <v>16</v>
      </c>
      <c r="N8" s="3" t="s">
        <v>16</v>
      </c>
      <c r="O8" s="3" t="s">
        <v>16</v>
      </c>
      <c r="P8" s="3" t="s">
        <v>13</v>
      </c>
      <c r="Q8" s="3" t="s">
        <v>20</v>
      </c>
      <c r="R8" s="3" t="s">
        <v>47</v>
      </c>
      <c r="S8" s="20">
        <v>10</v>
      </c>
      <c r="T8" s="4">
        <v>0</v>
      </c>
      <c r="U8" s="4">
        <v>10</v>
      </c>
      <c r="V8" s="4">
        <v>24</v>
      </c>
      <c r="W8" s="4">
        <v>22</v>
      </c>
      <c r="X8" s="4">
        <v>46</v>
      </c>
      <c r="Y8" s="4">
        <v>4</v>
      </c>
      <c r="Z8" s="4">
        <v>1</v>
      </c>
      <c r="AA8" s="4">
        <v>5</v>
      </c>
      <c r="AB8" s="20">
        <v>8</v>
      </c>
      <c r="AC8" s="4">
        <v>3</v>
      </c>
      <c r="AD8" s="4">
        <v>11</v>
      </c>
      <c r="AE8" s="4">
        <v>0</v>
      </c>
      <c r="AF8" s="4">
        <v>0</v>
      </c>
      <c r="AG8" s="4">
        <v>0</v>
      </c>
      <c r="AH8" s="3" t="s">
        <v>39</v>
      </c>
      <c r="AI8" s="4">
        <v>0</v>
      </c>
      <c r="AJ8" s="4">
        <v>10</v>
      </c>
      <c r="AK8" s="4">
        <v>3</v>
      </c>
      <c r="AL8" s="4">
        <v>11</v>
      </c>
    </row>
    <row r="9" spans="1:38" x14ac:dyDescent="0.25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  <c r="I9" s="3" t="s">
        <v>12</v>
      </c>
      <c r="J9" s="3" t="s">
        <v>18</v>
      </c>
      <c r="K9" s="3" t="s">
        <v>21</v>
      </c>
      <c r="L9" s="3" t="s">
        <v>35</v>
      </c>
      <c r="M9" s="3" t="s">
        <v>16</v>
      </c>
      <c r="N9" s="3" t="s">
        <v>16</v>
      </c>
      <c r="O9" s="3" t="s">
        <v>16</v>
      </c>
      <c r="P9" s="3" t="s">
        <v>56</v>
      </c>
      <c r="Q9" s="3" t="s">
        <v>22</v>
      </c>
      <c r="R9" s="3" t="s">
        <v>57</v>
      </c>
      <c r="S9" s="20">
        <v>10</v>
      </c>
      <c r="T9" s="4">
        <v>6</v>
      </c>
      <c r="U9" s="4">
        <v>16</v>
      </c>
      <c r="V9" s="4">
        <v>21</v>
      </c>
      <c r="W9" s="4">
        <v>5</v>
      </c>
      <c r="X9" s="4">
        <v>26</v>
      </c>
      <c r="Y9" s="4">
        <v>9</v>
      </c>
      <c r="Z9" s="4">
        <v>16</v>
      </c>
      <c r="AA9" s="4">
        <v>25</v>
      </c>
      <c r="AB9" s="20">
        <v>4</v>
      </c>
      <c r="AC9" s="4">
        <v>3</v>
      </c>
      <c r="AD9" s="4">
        <v>7</v>
      </c>
      <c r="AE9" s="4">
        <v>0</v>
      </c>
      <c r="AF9" s="4">
        <v>0</v>
      </c>
      <c r="AG9" s="4">
        <v>0</v>
      </c>
      <c r="AH9" s="3" t="s">
        <v>48</v>
      </c>
      <c r="AI9" s="4">
        <v>6</v>
      </c>
      <c r="AJ9" s="4">
        <v>16</v>
      </c>
      <c r="AK9" s="4">
        <v>3</v>
      </c>
      <c r="AL9" s="4">
        <v>7</v>
      </c>
    </row>
    <row r="10" spans="1:38" x14ac:dyDescent="0.25">
      <c r="A10" s="3" t="s">
        <v>58</v>
      </c>
      <c r="B10" s="3" t="s">
        <v>59</v>
      </c>
      <c r="C10" s="3" t="s">
        <v>26</v>
      </c>
      <c r="D10" s="3" t="s">
        <v>60</v>
      </c>
      <c r="E10" s="3" t="s">
        <v>61</v>
      </c>
      <c r="F10" s="3" t="s">
        <v>62</v>
      </c>
      <c r="G10" s="3" t="s">
        <v>63</v>
      </c>
      <c r="H10" s="3" t="s">
        <v>64</v>
      </c>
      <c r="I10" s="3" t="s">
        <v>12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  <c r="P10" s="3" t="s">
        <v>16</v>
      </c>
      <c r="Q10" s="3" t="s">
        <v>16</v>
      </c>
      <c r="R10" s="3" t="s">
        <v>16</v>
      </c>
      <c r="S10" s="20">
        <v>0</v>
      </c>
      <c r="T10" s="4">
        <v>0</v>
      </c>
      <c r="U10" s="4">
        <v>0</v>
      </c>
      <c r="V10" s="4">
        <v>1</v>
      </c>
      <c r="W10" s="4">
        <v>1</v>
      </c>
      <c r="X10" s="4">
        <v>2</v>
      </c>
      <c r="Y10" s="4">
        <v>1</v>
      </c>
      <c r="Z10" s="4">
        <v>1</v>
      </c>
      <c r="AA10" s="4">
        <v>2</v>
      </c>
      <c r="AB10" s="20">
        <v>0</v>
      </c>
      <c r="AC10" s="4">
        <v>5</v>
      </c>
      <c r="AD10" s="4">
        <v>5</v>
      </c>
      <c r="AE10" s="4">
        <v>0</v>
      </c>
      <c r="AF10" s="4">
        <v>0</v>
      </c>
      <c r="AG10" s="4">
        <v>0</v>
      </c>
      <c r="AH10" s="3" t="s">
        <v>58</v>
      </c>
      <c r="AI10" s="4">
        <v>0</v>
      </c>
      <c r="AJ10" s="4">
        <v>0</v>
      </c>
      <c r="AK10" s="4">
        <v>5</v>
      </c>
      <c r="AL10" s="4">
        <v>5</v>
      </c>
    </row>
    <row r="11" spans="1:38" x14ac:dyDescent="0.25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71</v>
      </c>
      <c r="H11" s="3" t="s">
        <v>72</v>
      </c>
      <c r="I11" s="3" t="s">
        <v>12</v>
      </c>
      <c r="J11" s="3" t="s">
        <v>34</v>
      </c>
      <c r="K11" s="3" t="s">
        <v>73</v>
      </c>
      <c r="L11" s="3" t="s">
        <v>74</v>
      </c>
      <c r="M11" s="3" t="s">
        <v>16</v>
      </c>
      <c r="N11" s="3" t="s">
        <v>16</v>
      </c>
      <c r="O11" s="3" t="s">
        <v>16</v>
      </c>
      <c r="P11" s="3" t="s">
        <v>75</v>
      </c>
      <c r="Q11" s="3" t="s">
        <v>32</v>
      </c>
      <c r="R11" s="3" t="s">
        <v>76</v>
      </c>
      <c r="S11" s="20">
        <v>21</v>
      </c>
      <c r="T11" s="4">
        <v>7</v>
      </c>
      <c r="U11" s="4">
        <v>28</v>
      </c>
      <c r="V11" s="4">
        <v>57</v>
      </c>
      <c r="W11" s="4">
        <v>30</v>
      </c>
      <c r="X11" s="4">
        <v>87</v>
      </c>
      <c r="Y11" s="4">
        <v>18</v>
      </c>
      <c r="Z11" s="4">
        <v>21</v>
      </c>
      <c r="AA11" s="4">
        <v>39</v>
      </c>
      <c r="AB11" s="20">
        <v>14</v>
      </c>
      <c r="AC11" s="4">
        <v>11</v>
      </c>
      <c r="AD11" s="4">
        <v>25</v>
      </c>
      <c r="AE11" s="4">
        <v>4</v>
      </c>
      <c r="AF11" s="4">
        <v>0</v>
      </c>
      <c r="AG11" s="4">
        <v>4</v>
      </c>
      <c r="AH11" s="3" t="s">
        <v>65</v>
      </c>
      <c r="AI11" s="4">
        <v>7</v>
      </c>
      <c r="AJ11" s="4">
        <v>28</v>
      </c>
      <c r="AK11" s="4">
        <v>11</v>
      </c>
      <c r="AL11" s="4">
        <v>25</v>
      </c>
    </row>
    <row r="12" spans="1:38" x14ac:dyDescent="0.25">
      <c r="A12" s="3" t="s">
        <v>79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3" t="s">
        <v>86</v>
      </c>
      <c r="I12" s="3" t="s">
        <v>12</v>
      </c>
      <c r="J12" s="3" t="s">
        <v>78</v>
      </c>
      <c r="K12" s="3" t="s">
        <v>22</v>
      </c>
      <c r="L12" s="3" t="s">
        <v>13</v>
      </c>
      <c r="M12" s="3" t="s">
        <v>16</v>
      </c>
      <c r="N12" s="3" t="s">
        <v>16</v>
      </c>
      <c r="O12" s="3" t="s">
        <v>16</v>
      </c>
      <c r="P12" s="3" t="s">
        <v>16</v>
      </c>
      <c r="Q12" s="3" t="s">
        <v>16</v>
      </c>
      <c r="R12" s="3" t="s">
        <v>16</v>
      </c>
      <c r="S12" s="20">
        <v>0</v>
      </c>
      <c r="T12" s="4">
        <v>0</v>
      </c>
      <c r="U12" s="4">
        <v>0</v>
      </c>
      <c r="V12" s="4">
        <v>40</v>
      </c>
      <c r="W12" s="4">
        <v>60</v>
      </c>
      <c r="X12" s="4">
        <v>100</v>
      </c>
      <c r="Y12" s="4">
        <v>0</v>
      </c>
      <c r="Z12" s="4">
        <v>0</v>
      </c>
      <c r="AA12" s="4">
        <v>0</v>
      </c>
      <c r="AB12" s="20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</row>
    <row r="13" spans="1:38" x14ac:dyDescent="0.25">
      <c r="A13" s="3" t="s">
        <v>88</v>
      </c>
      <c r="B13" s="3" t="s">
        <v>89</v>
      </c>
      <c r="C13" s="3" t="s">
        <v>0</v>
      </c>
      <c r="D13" s="3" t="s">
        <v>90</v>
      </c>
      <c r="E13" s="3" t="s">
        <v>91</v>
      </c>
      <c r="F13" s="3" t="s">
        <v>92</v>
      </c>
      <c r="G13" s="3" t="s">
        <v>26</v>
      </c>
      <c r="H13" s="3" t="s">
        <v>93</v>
      </c>
      <c r="I13" s="3" t="s">
        <v>12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16</v>
      </c>
      <c r="Q13" s="3" t="s">
        <v>16</v>
      </c>
      <c r="R13" s="3" t="s">
        <v>16</v>
      </c>
      <c r="S13" s="20">
        <v>0</v>
      </c>
      <c r="T13" s="4">
        <v>0</v>
      </c>
      <c r="U13" s="4">
        <v>0</v>
      </c>
      <c r="V13" s="4">
        <v>10</v>
      </c>
      <c r="W13" s="4">
        <v>2</v>
      </c>
      <c r="X13" s="4">
        <v>12</v>
      </c>
      <c r="Y13" s="4">
        <v>0</v>
      </c>
      <c r="Z13" s="4">
        <v>0</v>
      </c>
      <c r="AA13" s="4">
        <v>0</v>
      </c>
      <c r="AB13" s="20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</row>
    <row r="14" spans="1:38" x14ac:dyDescent="0.25">
      <c r="A14" s="3" t="s">
        <v>95</v>
      </c>
      <c r="B14" s="3" t="s">
        <v>96</v>
      </c>
      <c r="C14" s="3" t="s">
        <v>97</v>
      </c>
      <c r="D14" s="3" t="s">
        <v>81</v>
      </c>
      <c r="E14" s="3" t="s">
        <v>98</v>
      </c>
      <c r="F14" s="3" t="s">
        <v>99</v>
      </c>
      <c r="G14" s="3" t="s">
        <v>41</v>
      </c>
      <c r="H14" s="3" t="s">
        <v>100</v>
      </c>
      <c r="I14" s="3" t="s">
        <v>12</v>
      </c>
      <c r="J14" s="3" t="s">
        <v>13</v>
      </c>
      <c r="K14" s="3" t="s">
        <v>94</v>
      </c>
      <c r="L14" s="3" t="s">
        <v>101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 t="s">
        <v>16</v>
      </c>
      <c r="S14" s="20">
        <v>0</v>
      </c>
      <c r="T14" s="4">
        <v>0</v>
      </c>
      <c r="U14" s="4">
        <v>0</v>
      </c>
      <c r="V14" s="4">
        <v>19</v>
      </c>
      <c r="W14" s="4">
        <v>11</v>
      </c>
      <c r="X14" s="4">
        <v>30</v>
      </c>
      <c r="Y14" s="4">
        <v>0</v>
      </c>
      <c r="Z14" s="4">
        <v>0</v>
      </c>
      <c r="AA14" s="4">
        <v>0</v>
      </c>
      <c r="AB14" s="20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</row>
    <row r="15" spans="1:38" x14ac:dyDescent="0.25">
      <c r="A15" s="3" t="s">
        <v>102</v>
      </c>
      <c r="B15" s="3" t="s">
        <v>12</v>
      </c>
      <c r="C15" s="3" t="s">
        <v>103</v>
      </c>
      <c r="D15" s="3" t="s">
        <v>103</v>
      </c>
      <c r="E15" s="3" t="s">
        <v>104</v>
      </c>
      <c r="F15" s="3" t="s">
        <v>103</v>
      </c>
      <c r="G15" s="3" t="s">
        <v>103</v>
      </c>
      <c r="H15" s="3" t="s">
        <v>104</v>
      </c>
      <c r="I15" s="3" t="s">
        <v>12</v>
      </c>
      <c r="J15" s="3" t="s">
        <v>16</v>
      </c>
      <c r="K15" s="3" t="s">
        <v>16</v>
      </c>
      <c r="L15" s="3" t="s">
        <v>16</v>
      </c>
      <c r="M15" s="3" t="s">
        <v>16</v>
      </c>
      <c r="N15" s="3" t="s">
        <v>16</v>
      </c>
      <c r="O15" s="3" t="s">
        <v>16</v>
      </c>
      <c r="P15" s="3" t="s">
        <v>16</v>
      </c>
      <c r="Q15" s="3" t="s">
        <v>16</v>
      </c>
      <c r="R15" s="3" t="s">
        <v>16</v>
      </c>
      <c r="S15" s="20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1</v>
      </c>
      <c r="AB15" s="20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</row>
    <row r="16" spans="1:38" x14ac:dyDescent="0.25">
      <c r="A16" s="3" t="s">
        <v>105</v>
      </c>
      <c r="B16" s="3" t="s">
        <v>12</v>
      </c>
      <c r="C16" s="3" t="s">
        <v>0</v>
      </c>
      <c r="D16" s="3" t="s">
        <v>37</v>
      </c>
      <c r="E16" s="3" t="s">
        <v>37</v>
      </c>
      <c r="F16" s="3" t="s">
        <v>0</v>
      </c>
      <c r="G16" s="3" t="s">
        <v>37</v>
      </c>
      <c r="H16" s="3" t="s">
        <v>37</v>
      </c>
      <c r="I16" s="3" t="s">
        <v>12</v>
      </c>
      <c r="J16" s="3" t="s">
        <v>16</v>
      </c>
      <c r="K16" s="3" t="s">
        <v>16</v>
      </c>
      <c r="L16" s="3" t="s">
        <v>16</v>
      </c>
      <c r="M16" s="3" t="s">
        <v>16</v>
      </c>
      <c r="N16" s="3" t="s">
        <v>16</v>
      </c>
      <c r="O16" s="3" t="s">
        <v>16</v>
      </c>
      <c r="P16" s="3" t="s">
        <v>16</v>
      </c>
      <c r="Q16" s="3" t="s">
        <v>16</v>
      </c>
      <c r="R16" s="3" t="s">
        <v>16</v>
      </c>
      <c r="S16" s="20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20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</row>
    <row r="17" spans="1:38" x14ac:dyDescent="0.25">
      <c r="A17" s="3" t="s">
        <v>106</v>
      </c>
      <c r="B17" s="3" t="s">
        <v>12</v>
      </c>
      <c r="C17" s="3" t="s">
        <v>0</v>
      </c>
      <c r="D17" s="3" t="s">
        <v>37</v>
      </c>
      <c r="E17" s="3" t="s">
        <v>37</v>
      </c>
      <c r="F17" s="3" t="s">
        <v>0</v>
      </c>
      <c r="G17" s="3" t="s">
        <v>37</v>
      </c>
      <c r="H17" s="3" t="s">
        <v>37</v>
      </c>
      <c r="I17" s="3" t="s">
        <v>12</v>
      </c>
      <c r="J17" s="3" t="s">
        <v>16</v>
      </c>
      <c r="K17" s="3" t="s">
        <v>16</v>
      </c>
      <c r="L17" s="3" t="s">
        <v>16</v>
      </c>
      <c r="M17" s="3" t="s">
        <v>16</v>
      </c>
      <c r="N17" s="3" t="s">
        <v>16</v>
      </c>
      <c r="O17" s="3" t="s">
        <v>16</v>
      </c>
      <c r="P17" s="3" t="s">
        <v>16</v>
      </c>
      <c r="Q17" s="3" t="s">
        <v>16</v>
      </c>
      <c r="R17" s="3" t="s">
        <v>16</v>
      </c>
      <c r="S17" s="20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20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</row>
    <row r="18" spans="1:38" x14ac:dyDescent="0.25">
      <c r="A18" s="3" t="s">
        <v>107</v>
      </c>
      <c r="B18" s="3" t="s">
        <v>12</v>
      </c>
      <c r="C18" s="3" t="s">
        <v>0</v>
      </c>
      <c r="D18" s="3" t="s">
        <v>37</v>
      </c>
      <c r="E18" s="3" t="s">
        <v>37</v>
      </c>
      <c r="F18" s="3" t="s">
        <v>0</v>
      </c>
      <c r="G18" s="3" t="s">
        <v>37</v>
      </c>
      <c r="H18" s="3" t="s">
        <v>37</v>
      </c>
      <c r="I18" s="3" t="s">
        <v>12</v>
      </c>
      <c r="J18" s="3" t="s">
        <v>16</v>
      </c>
      <c r="K18" s="3" t="s">
        <v>16</v>
      </c>
      <c r="L18" s="3" t="s">
        <v>16</v>
      </c>
      <c r="M18" s="3" t="s">
        <v>16</v>
      </c>
      <c r="N18" s="3" t="s">
        <v>16</v>
      </c>
      <c r="O18" s="3" t="s">
        <v>16</v>
      </c>
      <c r="P18" s="3" t="s">
        <v>16</v>
      </c>
      <c r="Q18" s="3" t="s">
        <v>16</v>
      </c>
      <c r="R18" s="3" t="s">
        <v>16</v>
      </c>
      <c r="S18" s="20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20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</row>
    <row r="19" spans="1:38" x14ac:dyDescent="0.25">
      <c r="A19" s="3" t="s">
        <v>108</v>
      </c>
      <c r="B19" s="3" t="s">
        <v>12</v>
      </c>
      <c r="C19" s="3" t="s">
        <v>0</v>
      </c>
      <c r="D19" s="3" t="s">
        <v>37</v>
      </c>
      <c r="E19" s="3" t="s">
        <v>37</v>
      </c>
      <c r="F19" s="3" t="s">
        <v>0</v>
      </c>
      <c r="G19" s="3" t="s">
        <v>37</v>
      </c>
      <c r="H19" s="3" t="s">
        <v>37</v>
      </c>
      <c r="I19" s="3" t="s">
        <v>12</v>
      </c>
      <c r="J19" s="3" t="s">
        <v>16</v>
      </c>
      <c r="K19" s="3" t="s">
        <v>16</v>
      </c>
      <c r="L19" s="3" t="s">
        <v>16</v>
      </c>
      <c r="M19" s="3" t="s">
        <v>16</v>
      </c>
      <c r="N19" s="3" t="s">
        <v>16</v>
      </c>
      <c r="O19" s="3" t="s">
        <v>16</v>
      </c>
      <c r="P19" s="3" t="s">
        <v>16</v>
      </c>
      <c r="Q19" s="3" t="s">
        <v>16</v>
      </c>
      <c r="R19" s="3" t="s">
        <v>16</v>
      </c>
      <c r="S19" s="20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20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</row>
    <row r="20" spans="1:38" x14ac:dyDescent="0.25">
      <c r="A20" s="3" t="s">
        <v>109</v>
      </c>
      <c r="B20" s="3" t="s">
        <v>12</v>
      </c>
      <c r="C20" s="3" t="s">
        <v>0</v>
      </c>
      <c r="D20" s="3" t="s">
        <v>37</v>
      </c>
      <c r="E20" s="3" t="s">
        <v>37</v>
      </c>
      <c r="F20" s="3" t="s">
        <v>0</v>
      </c>
      <c r="G20" s="3" t="s">
        <v>37</v>
      </c>
      <c r="H20" s="3" t="s">
        <v>37</v>
      </c>
      <c r="I20" s="3" t="s">
        <v>12</v>
      </c>
      <c r="J20" s="3" t="s">
        <v>16</v>
      </c>
      <c r="K20" s="3" t="s">
        <v>16</v>
      </c>
      <c r="L20" s="3" t="s">
        <v>16</v>
      </c>
      <c r="M20" s="3" t="s">
        <v>16</v>
      </c>
      <c r="N20" s="3" t="s">
        <v>16</v>
      </c>
      <c r="O20" s="3" t="s">
        <v>16</v>
      </c>
      <c r="P20" s="3" t="s">
        <v>16</v>
      </c>
      <c r="Q20" s="3" t="s">
        <v>16</v>
      </c>
      <c r="R20" s="3" t="s">
        <v>16</v>
      </c>
      <c r="S20" s="20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20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</row>
    <row r="21" spans="1:38" x14ac:dyDescent="0.25">
      <c r="A21" s="3" t="s">
        <v>110</v>
      </c>
      <c r="B21" s="3" t="s">
        <v>111</v>
      </c>
      <c r="C21" s="3" t="s">
        <v>112</v>
      </c>
      <c r="D21" s="3" t="s">
        <v>113</v>
      </c>
      <c r="E21" s="3" t="s">
        <v>114</v>
      </c>
      <c r="F21" s="3" t="s">
        <v>115</v>
      </c>
      <c r="G21" s="3" t="s">
        <v>116</v>
      </c>
      <c r="H21" s="3" t="s">
        <v>117</v>
      </c>
      <c r="I21" s="3" t="s">
        <v>12</v>
      </c>
      <c r="J21" s="3" t="s">
        <v>118</v>
      </c>
      <c r="K21" s="3" t="s">
        <v>77</v>
      </c>
      <c r="L21" s="3" t="s">
        <v>76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20">
        <v>0</v>
      </c>
      <c r="T21" s="4">
        <v>0</v>
      </c>
      <c r="U21" s="4">
        <v>0</v>
      </c>
      <c r="V21" s="4">
        <v>69</v>
      </c>
      <c r="W21" s="4">
        <v>73</v>
      </c>
      <c r="X21" s="4">
        <v>142</v>
      </c>
      <c r="Y21" s="4">
        <v>0</v>
      </c>
      <c r="Z21" s="4">
        <v>1</v>
      </c>
      <c r="AA21" s="4">
        <v>1</v>
      </c>
      <c r="AB21" s="20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</row>
    <row r="22" spans="1:38" x14ac:dyDescent="0.25">
      <c r="A22" s="3" t="s">
        <v>119</v>
      </c>
      <c r="B22" s="3" t="s">
        <v>120</v>
      </c>
      <c r="C22" s="3" t="s">
        <v>121</v>
      </c>
      <c r="D22" s="3" t="s">
        <v>122</v>
      </c>
      <c r="E22" s="3" t="s">
        <v>123</v>
      </c>
      <c r="F22" s="3" t="s">
        <v>124</v>
      </c>
      <c r="G22" s="3" t="s">
        <v>125</v>
      </c>
      <c r="H22" s="3" t="s">
        <v>126</v>
      </c>
      <c r="I22" s="3" t="s">
        <v>12</v>
      </c>
      <c r="J22" s="3" t="s">
        <v>32</v>
      </c>
      <c r="K22" s="3" t="s">
        <v>47</v>
      </c>
      <c r="L22" s="3" t="s">
        <v>118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 t="s">
        <v>16</v>
      </c>
      <c r="S22" s="20">
        <v>0</v>
      </c>
      <c r="T22" s="4">
        <v>1</v>
      </c>
      <c r="U22" s="4">
        <v>1</v>
      </c>
      <c r="V22" s="4">
        <v>8</v>
      </c>
      <c r="W22" s="4">
        <v>6</v>
      </c>
      <c r="X22" s="4">
        <v>14</v>
      </c>
      <c r="Y22" s="4">
        <v>0</v>
      </c>
      <c r="Z22" s="4">
        <v>0</v>
      </c>
      <c r="AA22" s="4">
        <v>0</v>
      </c>
      <c r="AB22" s="20">
        <v>0</v>
      </c>
      <c r="AC22" s="4">
        <v>0</v>
      </c>
      <c r="AD22" s="4">
        <v>0</v>
      </c>
      <c r="AE22" s="4">
        <v>2</v>
      </c>
      <c r="AF22" s="4">
        <v>0</v>
      </c>
      <c r="AG22" s="4">
        <v>2</v>
      </c>
      <c r="AH22" s="3" t="s">
        <v>119</v>
      </c>
      <c r="AI22" s="4">
        <v>1</v>
      </c>
      <c r="AJ22" s="4">
        <v>1</v>
      </c>
      <c r="AK22" s="4">
        <v>0</v>
      </c>
      <c r="AL22" s="4">
        <v>0</v>
      </c>
    </row>
    <row r="23" spans="1:38" x14ac:dyDescent="0.25">
      <c r="A23" s="3" t="s">
        <v>127</v>
      </c>
      <c r="B23" s="3" t="s">
        <v>128</v>
      </c>
      <c r="C23" s="3" t="s">
        <v>129</v>
      </c>
      <c r="D23" s="3" t="s">
        <v>130</v>
      </c>
      <c r="E23" s="3" t="s">
        <v>131</v>
      </c>
      <c r="F23" s="3" t="s">
        <v>132</v>
      </c>
      <c r="G23" s="3" t="s">
        <v>62</v>
      </c>
      <c r="H23" s="3" t="s">
        <v>61</v>
      </c>
      <c r="I23" s="3" t="s">
        <v>12</v>
      </c>
      <c r="J23" s="3" t="s">
        <v>17</v>
      </c>
      <c r="K23" s="3" t="s">
        <v>18</v>
      </c>
      <c r="L23" s="3" t="s">
        <v>19</v>
      </c>
      <c r="M23" s="3" t="s">
        <v>16</v>
      </c>
      <c r="N23" s="3" t="s">
        <v>16</v>
      </c>
      <c r="O23" s="3" t="s">
        <v>16</v>
      </c>
      <c r="P23" s="3" t="s">
        <v>16</v>
      </c>
      <c r="Q23" s="3" t="s">
        <v>16</v>
      </c>
      <c r="R23" s="3" t="s">
        <v>16</v>
      </c>
      <c r="S23" s="20">
        <v>0</v>
      </c>
      <c r="T23" s="4">
        <v>1</v>
      </c>
      <c r="U23" s="4">
        <v>1</v>
      </c>
      <c r="V23" s="4">
        <v>0</v>
      </c>
      <c r="W23" s="4">
        <v>1</v>
      </c>
      <c r="X23" s="4">
        <v>1</v>
      </c>
      <c r="Y23" s="4">
        <v>0</v>
      </c>
      <c r="Z23" s="4">
        <v>1</v>
      </c>
      <c r="AA23" s="4">
        <v>1</v>
      </c>
      <c r="AB23" s="20">
        <v>0</v>
      </c>
      <c r="AC23" s="4">
        <v>1</v>
      </c>
      <c r="AD23" s="4">
        <v>1</v>
      </c>
      <c r="AE23" s="4">
        <v>0</v>
      </c>
      <c r="AF23" s="4">
        <v>0</v>
      </c>
      <c r="AG23" s="4">
        <v>0</v>
      </c>
      <c r="AH23" s="3" t="s">
        <v>127</v>
      </c>
      <c r="AI23" s="4">
        <v>1</v>
      </c>
      <c r="AJ23" s="4">
        <v>1</v>
      </c>
      <c r="AK23" s="4">
        <v>1</v>
      </c>
      <c r="AL23" s="4">
        <v>1</v>
      </c>
    </row>
    <row r="24" spans="1:38" x14ac:dyDescent="0.25">
      <c r="A24" s="3" t="s">
        <v>133</v>
      </c>
      <c r="B24" s="3" t="s">
        <v>134</v>
      </c>
      <c r="C24" s="3" t="s">
        <v>132</v>
      </c>
      <c r="D24" s="3" t="s">
        <v>135</v>
      </c>
      <c r="E24" s="3" t="s">
        <v>136</v>
      </c>
      <c r="F24" s="3" t="s">
        <v>137</v>
      </c>
      <c r="G24" s="3" t="s">
        <v>125</v>
      </c>
      <c r="H24" s="3" t="s">
        <v>138</v>
      </c>
      <c r="I24" s="3" t="s">
        <v>12</v>
      </c>
      <c r="J24" s="3" t="s">
        <v>19</v>
      </c>
      <c r="K24" s="3" t="s">
        <v>35</v>
      </c>
      <c r="L24" s="3" t="s">
        <v>32</v>
      </c>
      <c r="M24" s="3" t="s">
        <v>16</v>
      </c>
      <c r="N24" s="3" t="s">
        <v>16</v>
      </c>
      <c r="O24" s="3" t="s">
        <v>16</v>
      </c>
      <c r="P24" s="3" t="s">
        <v>19</v>
      </c>
      <c r="Q24" s="3" t="s">
        <v>19</v>
      </c>
      <c r="R24" s="3" t="s">
        <v>22</v>
      </c>
      <c r="S24" s="20">
        <v>0</v>
      </c>
      <c r="T24" s="4">
        <v>1</v>
      </c>
      <c r="U24" s="4">
        <v>1</v>
      </c>
      <c r="V24" s="4">
        <v>4</v>
      </c>
      <c r="W24" s="4">
        <v>14</v>
      </c>
      <c r="X24" s="4">
        <v>18</v>
      </c>
      <c r="Y24" s="4">
        <v>0</v>
      </c>
      <c r="Z24" s="4">
        <v>10</v>
      </c>
      <c r="AA24" s="4">
        <v>10</v>
      </c>
      <c r="AB24" s="20">
        <v>0</v>
      </c>
      <c r="AC24" s="4">
        <v>4</v>
      </c>
      <c r="AD24" s="4">
        <v>4</v>
      </c>
      <c r="AE24" s="4">
        <v>2</v>
      </c>
      <c r="AF24" s="4">
        <v>0</v>
      </c>
      <c r="AG24" s="4">
        <v>2</v>
      </c>
      <c r="AH24" s="3" t="s">
        <v>133</v>
      </c>
      <c r="AI24" s="4">
        <v>1</v>
      </c>
      <c r="AJ24" s="4">
        <v>1</v>
      </c>
      <c r="AK24" s="4">
        <v>4</v>
      </c>
      <c r="AL24" s="4">
        <v>4</v>
      </c>
    </row>
    <row r="25" spans="1:38" x14ac:dyDescent="0.25">
      <c r="A25" s="3" t="s">
        <v>139</v>
      </c>
      <c r="B25" s="3" t="s">
        <v>12</v>
      </c>
      <c r="C25" s="3" t="s">
        <v>0</v>
      </c>
      <c r="D25" s="3" t="s">
        <v>37</v>
      </c>
      <c r="E25" s="3" t="s">
        <v>37</v>
      </c>
      <c r="F25" s="3" t="s">
        <v>0</v>
      </c>
      <c r="G25" s="3" t="s">
        <v>37</v>
      </c>
      <c r="H25" s="3" t="s">
        <v>37</v>
      </c>
      <c r="I25" s="3" t="s">
        <v>12</v>
      </c>
      <c r="J25" s="3" t="s">
        <v>16</v>
      </c>
      <c r="K25" s="3" t="s">
        <v>16</v>
      </c>
      <c r="L25" s="3" t="s">
        <v>16</v>
      </c>
      <c r="M25" s="3" t="s">
        <v>16</v>
      </c>
      <c r="N25" s="3" t="s">
        <v>16</v>
      </c>
      <c r="O25" s="3" t="s">
        <v>16</v>
      </c>
      <c r="P25" s="3" t="s">
        <v>16</v>
      </c>
      <c r="Q25" s="3" t="s">
        <v>16</v>
      </c>
      <c r="R25" s="3" t="s">
        <v>16</v>
      </c>
      <c r="S25" s="20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20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3" t="s">
        <v>139</v>
      </c>
      <c r="AI25" s="4">
        <v>0</v>
      </c>
      <c r="AJ25" s="4">
        <v>0</v>
      </c>
      <c r="AK25" s="4">
        <v>0</v>
      </c>
      <c r="AL25" s="4">
        <v>0</v>
      </c>
    </row>
    <row r="26" spans="1:38" x14ac:dyDescent="0.25">
      <c r="A26" s="3" t="s">
        <v>140</v>
      </c>
      <c r="B26" s="3" t="s">
        <v>141</v>
      </c>
      <c r="C26" s="3" t="s">
        <v>142</v>
      </c>
      <c r="D26" s="3" t="s">
        <v>143</v>
      </c>
      <c r="E26" s="3" t="s">
        <v>144</v>
      </c>
      <c r="F26" s="3" t="s">
        <v>143</v>
      </c>
      <c r="G26" s="3" t="s">
        <v>145</v>
      </c>
      <c r="H26" s="3" t="s">
        <v>146</v>
      </c>
      <c r="I26" s="3" t="s">
        <v>12</v>
      </c>
      <c r="J26" s="3" t="s">
        <v>78</v>
      </c>
      <c r="K26" s="3" t="s">
        <v>147</v>
      </c>
      <c r="L26" s="3" t="s">
        <v>148</v>
      </c>
      <c r="M26" s="3" t="s">
        <v>16</v>
      </c>
      <c r="N26" s="3" t="s">
        <v>16</v>
      </c>
      <c r="O26" s="3" t="s">
        <v>16</v>
      </c>
      <c r="P26" s="3" t="s">
        <v>19</v>
      </c>
      <c r="Q26" s="3" t="s">
        <v>19</v>
      </c>
      <c r="R26" s="3" t="s">
        <v>22</v>
      </c>
      <c r="S26" s="20">
        <v>0</v>
      </c>
      <c r="T26" s="4">
        <v>3</v>
      </c>
      <c r="U26" s="4">
        <v>3</v>
      </c>
      <c r="V26" s="4">
        <v>12</v>
      </c>
      <c r="W26" s="4">
        <v>21</v>
      </c>
      <c r="X26" s="4">
        <v>33</v>
      </c>
      <c r="Y26" s="4">
        <v>0</v>
      </c>
      <c r="Z26" s="4">
        <v>11</v>
      </c>
      <c r="AA26" s="4">
        <v>11</v>
      </c>
      <c r="AB26" s="20">
        <v>0</v>
      </c>
      <c r="AC26" s="4">
        <v>5</v>
      </c>
      <c r="AD26" s="4">
        <v>5</v>
      </c>
      <c r="AE26" s="4">
        <v>4</v>
      </c>
      <c r="AF26" s="4">
        <v>0</v>
      </c>
      <c r="AG26" s="4">
        <v>4</v>
      </c>
      <c r="AH26" s="3" t="s">
        <v>140</v>
      </c>
      <c r="AI26" s="4">
        <v>3</v>
      </c>
      <c r="AJ26" s="4">
        <v>3</v>
      </c>
      <c r="AK26" s="4">
        <v>5</v>
      </c>
      <c r="AL26" s="4">
        <v>5</v>
      </c>
    </row>
    <row r="27" spans="1:38" x14ac:dyDescent="0.25">
      <c r="A27" s="3" t="s">
        <v>149</v>
      </c>
      <c r="B27" s="3" t="s">
        <v>141</v>
      </c>
      <c r="C27" s="3" t="s">
        <v>150</v>
      </c>
      <c r="D27" s="3" t="s">
        <v>151</v>
      </c>
      <c r="E27" s="3" t="s">
        <v>152</v>
      </c>
      <c r="F27" s="3" t="s">
        <v>153</v>
      </c>
      <c r="G27" s="3" t="s">
        <v>154</v>
      </c>
      <c r="H27" s="3" t="s">
        <v>155</v>
      </c>
      <c r="I27" s="3" t="s">
        <v>12</v>
      </c>
      <c r="J27" s="3" t="s">
        <v>16</v>
      </c>
      <c r="K27" s="3" t="s">
        <v>16</v>
      </c>
      <c r="L27" s="3" t="s">
        <v>16</v>
      </c>
      <c r="M27" s="3" t="s">
        <v>47</v>
      </c>
      <c r="N27" s="3" t="s">
        <v>73</v>
      </c>
      <c r="O27" s="3" t="s">
        <v>156</v>
      </c>
      <c r="P27" s="3" t="s">
        <v>16</v>
      </c>
      <c r="Q27" s="3" t="s">
        <v>16</v>
      </c>
      <c r="R27" s="3" t="s">
        <v>16</v>
      </c>
      <c r="S27" s="20">
        <v>0</v>
      </c>
      <c r="T27" s="4">
        <v>1</v>
      </c>
      <c r="U27" s="4">
        <v>1</v>
      </c>
      <c r="V27" s="4">
        <v>0</v>
      </c>
      <c r="W27" s="4">
        <v>0</v>
      </c>
      <c r="X27" s="4">
        <v>0</v>
      </c>
      <c r="Y27" s="4">
        <v>4</v>
      </c>
      <c r="Z27" s="4">
        <v>4</v>
      </c>
      <c r="AA27" s="4">
        <v>8</v>
      </c>
      <c r="AB27" s="20">
        <v>5</v>
      </c>
      <c r="AC27" s="4">
        <v>3</v>
      </c>
      <c r="AD27" s="4">
        <v>8</v>
      </c>
      <c r="AE27" s="4">
        <v>0</v>
      </c>
      <c r="AF27" s="4">
        <v>0</v>
      </c>
      <c r="AG27" s="4">
        <v>0</v>
      </c>
    </row>
    <row r="28" spans="1:38" x14ac:dyDescent="0.25">
      <c r="A28" s="3" t="s">
        <v>157</v>
      </c>
      <c r="B28" s="3" t="s">
        <v>158</v>
      </c>
      <c r="C28" s="3" t="s">
        <v>125</v>
      </c>
      <c r="D28" s="3" t="s">
        <v>159</v>
      </c>
      <c r="E28" s="3" t="s">
        <v>160</v>
      </c>
      <c r="F28" s="3" t="s">
        <v>161</v>
      </c>
      <c r="G28" s="3" t="s">
        <v>162</v>
      </c>
      <c r="H28" s="3" t="s">
        <v>163</v>
      </c>
      <c r="I28" s="3" t="s">
        <v>12</v>
      </c>
      <c r="J28" s="3" t="s">
        <v>16</v>
      </c>
      <c r="K28" s="3" t="s">
        <v>16</v>
      </c>
      <c r="L28" s="3" t="s">
        <v>16</v>
      </c>
      <c r="M28" s="3" t="s">
        <v>164</v>
      </c>
      <c r="N28" s="3" t="s">
        <v>101</v>
      </c>
      <c r="O28" s="3" t="s">
        <v>165</v>
      </c>
      <c r="P28" s="3" t="s">
        <v>16</v>
      </c>
      <c r="Q28" s="3" t="s">
        <v>16</v>
      </c>
      <c r="R28" s="3" t="s">
        <v>16</v>
      </c>
      <c r="S28" s="20">
        <v>5</v>
      </c>
      <c r="T28" s="4">
        <v>2</v>
      </c>
      <c r="U28" s="4">
        <v>7</v>
      </c>
      <c r="V28" s="4">
        <v>0</v>
      </c>
      <c r="W28" s="4">
        <v>0</v>
      </c>
      <c r="X28" s="4">
        <v>0</v>
      </c>
      <c r="Y28" s="4">
        <v>10</v>
      </c>
      <c r="Z28" s="4">
        <v>11</v>
      </c>
      <c r="AA28" s="4">
        <v>21</v>
      </c>
      <c r="AB28" s="20">
        <v>18</v>
      </c>
      <c r="AC28" s="4">
        <v>5</v>
      </c>
      <c r="AD28" s="4">
        <v>23</v>
      </c>
      <c r="AE28" s="4">
        <v>0</v>
      </c>
      <c r="AF28" s="4">
        <v>0</v>
      </c>
      <c r="AG28" s="4">
        <v>0</v>
      </c>
    </row>
    <row r="29" spans="1:38" x14ac:dyDescent="0.25">
      <c r="A29" s="3" t="s">
        <v>166</v>
      </c>
      <c r="B29" s="3" t="s">
        <v>167</v>
      </c>
      <c r="C29" s="3" t="s">
        <v>92</v>
      </c>
      <c r="D29" s="3" t="s">
        <v>10</v>
      </c>
      <c r="E29" s="3" t="s">
        <v>168</v>
      </c>
      <c r="F29" s="3" t="s">
        <v>62</v>
      </c>
      <c r="G29" s="3" t="s">
        <v>169</v>
      </c>
      <c r="H29" s="3" t="s">
        <v>170</v>
      </c>
      <c r="I29" s="3" t="s">
        <v>12</v>
      </c>
      <c r="J29" s="3" t="s">
        <v>16</v>
      </c>
      <c r="K29" s="3" t="s">
        <v>16</v>
      </c>
      <c r="L29" s="3" t="s">
        <v>16</v>
      </c>
      <c r="M29" s="3" t="s">
        <v>171</v>
      </c>
      <c r="N29" s="3" t="s">
        <v>35</v>
      </c>
      <c r="O29" s="3" t="s">
        <v>172</v>
      </c>
      <c r="P29" s="3" t="s">
        <v>16</v>
      </c>
      <c r="Q29" s="3" t="s">
        <v>16</v>
      </c>
      <c r="R29" s="3" t="s">
        <v>16</v>
      </c>
      <c r="S29" s="20">
        <v>2</v>
      </c>
      <c r="T29" s="4">
        <v>0</v>
      </c>
      <c r="U29" s="4">
        <v>2</v>
      </c>
      <c r="V29" s="4">
        <v>0</v>
      </c>
      <c r="W29" s="4">
        <v>0</v>
      </c>
      <c r="X29" s="4">
        <v>0</v>
      </c>
      <c r="Y29" s="4">
        <v>2</v>
      </c>
      <c r="Z29" s="4">
        <v>0</v>
      </c>
      <c r="AA29" s="4">
        <v>2</v>
      </c>
      <c r="AB29" s="20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</row>
    <row r="30" spans="1:38" x14ac:dyDescent="0.25">
      <c r="A30" s="3" t="s">
        <v>173</v>
      </c>
      <c r="B30" s="3" t="s">
        <v>174</v>
      </c>
      <c r="C30" s="3" t="s">
        <v>175</v>
      </c>
      <c r="D30" s="3" t="s">
        <v>176</v>
      </c>
      <c r="E30" s="3" t="s">
        <v>177</v>
      </c>
      <c r="F30" s="3" t="s">
        <v>178</v>
      </c>
      <c r="G30" s="3" t="s">
        <v>179</v>
      </c>
      <c r="H30" s="3" t="s">
        <v>180</v>
      </c>
      <c r="I30" s="3" t="s">
        <v>12</v>
      </c>
      <c r="J30" s="3" t="s">
        <v>16</v>
      </c>
      <c r="K30" s="3" t="s">
        <v>16</v>
      </c>
      <c r="L30" s="3" t="s">
        <v>16</v>
      </c>
      <c r="M30" s="3" t="s">
        <v>181</v>
      </c>
      <c r="N30" s="3" t="s">
        <v>182</v>
      </c>
      <c r="O30" s="3" t="s">
        <v>183</v>
      </c>
      <c r="P30" s="3" t="s">
        <v>16</v>
      </c>
      <c r="Q30" s="3" t="s">
        <v>16</v>
      </c>
      <c r="R30" s="3" t="s">
        <v>16</v>
      </c>
      <c r="S30" s="20">
        <v>7</v>
      </c>
      <c r="T30" s="4">
        <v>3</v>
      </c>
      <c r="U30" s="4">
        <v>10</v>
      </c>
      <c r="V30" s="4">
        <v>0</v>
      </c>
      <c r="W30" s="4">
        <v>0</v>
      </c>
      <c r="X30" s="4">
        <v>0</v>
      </c>
      <c r="Y30" s="4">
        <v>16</v>
      </c>
      <c r="Z30" s="4">
        <v>15</v>
      </c>
      <c r="AA30" s="4">
        <v>31</v>
      </c>
      <c r="AB30" s="20">
        <v>23</v>
      </c>
      <c r="AC30" s="4">
        <v>8</v>
      </c>
      <c r="AD30" s="4">
        <v>31</v>
      </c>
      <c r="AE30" s="4">
        <v>0</v>
      </c>
      <c r="AF30" s="4">
        <v>0</v>
      </c>
      <c r="AG30" s="4">
        <v>0</v>
      </c>
    </row>
    <row r="31" spans="1:38" x14ac:dyDescent="0.25">
      <c r="A31" s="3" t="s">
        <v>185</v>
      </c>
      <c r="B31" s="3" t="s">
        <v>186</v>
      </c>
      <c r="C31" s="3" t="s">
        <v>161</v>
      </c>
      <c r="D31" s="3" t="s">
        <v>187</v>
      </c>
      <c r="E31" s="3" t="s">
        <v>188</v>
      </c>
      <c r="F31" s="3" t="s">
        <v>81</v>
      </c>
      <c r="G31" s="3" t="s">
        <v>189</v>
      </c>
      <c r="H31" s="3" t="s">
        <v>190</v>
      </c>
      <c r="I31" s="3" t="s">
        <v>12</v>
      </c>
      <c r="J31" s="3" t="s">
        <v>16</v>
      </c>
      <c r="K31" s="3" t="s">
        <v>16</v>
      </c>
      <c r="L31" s="3" t="s">
        <v>16</v>
      </c>
      <c r="M31" s="3" t="s">
        <v>16</v>
      </c>
      <c r="N31" s="3" t="s">
        <v>16</v>
      </c>
      <c r="O31" s="3" t="s">
        <v>16</v>
      </c>
      <c r="P31" s="3" t="s">
        <v>16</v>
      </c>
      <c r="Q31" s="3" t="s">
        <v>17</v>
      </c>
      <c r="R31" s="3" t="s">
        <v>17</v>
      </c>
      <c r="S31" s="20">
        <v>0</v>
      </c>
      <c r="T31" s="4">
        <v>0</v>
      </c>
      <c r="U31" s="4">
        <v>0</v>
      </c>
      <c r="V31" s="4">
        <v>19</v>
      </c>
      <c r="W31" s="4">
        <v>47</v>
      </c>
      <c r="X31" s="4">
        <v>66</v>
      </c>
      <c r="Y31" s="4">
        <v>6</v>
      </c>
      <c r="Z31" s="4">
        <v>1</v>
      </c>
      <c r="AA31" s="4">
        <v>7</v>
      </c>
      <c r="AB31" s="20">
        <v>0</v>
      </c>
      <c r="AC31" s="4">
        <v>10</v>
      </c>
      <c r="AD31" s="4">
        <v>10</v>
      </c>
      <c r="AE31" s="4">
        <v>6</v>
      </c>
      <c r="AF31" s="4">
        <v>0</v>
      </c>
      <c r="AG31" s="4">
        <v>6</v>
      </c>
    </row>
    <row r="32" spans="1:38" x14ac:dyDescent="0.25">
      <c r="A32" s="3" t="s">
        <v>191</v>
      </c>
      <c r="B32" s="3" t="s">
        <v>186</v>
      </c>
      <c r="C32" s="3" t="s">
        <v>161</v>
      </c>
      <c r="D32" s="3" t="s">
        <v>187</v>
      </c>
      <c r="E32" s="3" t="s">
        <v>188</v>
      </c>
      <c r="F32" s="3" t="s">
        <v>81</v>
      </c>
      <c r="G32" s="3" t="s">
        <v>189</v>
      </c>
      <c r="H32" s="3" t="s">
        <v>190</v>
      </c>
      <c r="I32" s="3" t="s">
        <v>12</v>
      </c>
      <c r="J32" s="3" t="s">
        <v>16</v>
      </c>
      <c r="K32" s="3" t="s">
        <v>16</v>
      </c>
      <c r="L32" s="3" t="s">
        <v>16</v>
      </c>
      <c r="M32" s="3" t="s">
        <v>16</v>
      </c>
      <c r="N32" s="3" t="s">
        <v>16</v>
      </c>
      <c r="O32" s="3" t="s">
        <v>16</v>
      </c>
      <c r="P32" s="3" t="s">
        <v>16</v>
      </c>
      <c r="Q32" s="3" t="s">
        <v>17</v>
      </c>
      <c r="R32" s="3" t="s">
        <v>17</v>
      </c>
      <c r="S32" s="20">
        <v>0</v>
      </c>
      <c r="T32" s="4">
        <v>0</v>
      </c>
      <c r="U32" s="4">
        <v>0</v>
      </c>
      <c r="V32" s="4">
        <v>19</v>
      </c>
      <c r="W32" s="4">
        <v>47</v>
      </c>
      <c r="X32" s="4">
        <v>66</v>
      </c>
      <c r="Y32" s="4">
        <v>6</v>
      </c>
      <c r="Z32" s="4">
        <v>1</v>
      </c>
      <c r="AA32" s="4">
        <v>7</v>
      </c>
      <c r="AB32" s="20">
        <v>0</v>
      </c>
      <c r="AC32" s="4">
        <v>10</v>
      </c>
      <c r="AD32" s="4">
        <v>10</v>
      </c>
      <c r="AE32" s="4">
        <v>6</v>
      </c>
      <c r="AF32" s="4">
        <v>0</v>
      </c>
      <c r="AG32" s="4">
        <v>6</v>
      </c>
    </row>
    <row r="33" spans="1:33" x14ac:dyDescent="0.25">
      <c r="A33" s="3" t="s">
        <v>192</v>
      </c>
      <c r="B33" s="3" t="s">
        <v>186</v>
      </c>
      <c r="C33" s="3" t="s">
        <v>193</v>
      </c>
      <c r="D33" s="3" t="s">
        <v>194</v>
      </c>
      <c r="E33" s="3" t="s">
        <v>195</v>
      </c>
      <c r="F33" s="3" t="s">
        <v>196</v>
      </c>
      <c r="G33" s="3" t="s">
        <v>197</v>
      </c>
      <c r="H33" s="3" t="s">
        <v>198</v>
      </c>
      <c r="I33" s="3" t="s">
        <v>12</v>
      </c>
      <c r="J33" s="3" t="s">
        <v>16</v>
      </c>
      <c r="K33" s="3" t="s">
        <v>184</v>
      </c>
      <c r="L33" s="3" t="s">
        <v>184</v>
      </c>
      <c r="M33" s="3" t="s">
        <v>16</v>
      </c>
      <c r="N33" s="3" t="s">
        <v>16</v>
      </c>
      <c r="O33" s="3" t="s">
        <v>16</v>
      </c>
      <c r="P33" s="3" t="s">
        <v>16</v>
      </c>
      <c r="Q33" s="3" t="s">
        <v>17</v>
      </c>
      <c r="R33" s="3" t="s">
        <v>17</v>
      </c>
      <c r="S33" s="20">
        <v>0</v>
      </c>
      <c r="T33" s="4">
        <v>2</v>
      </c>
      <c r="U33" s="4">
        <v>2</v>
      </c>
      <c r="V33" s="4">
        <v>31</v>
      </c>
      <c r="W33" s="4">
        <v>41</v>
      </c>
      <c r="X33" s="4">
        <v>72</v>
      </c>
      <c r="Y33" s="4">
        <v>0</v>
      </c>
      <c r="Z33" s="4">
        <v>3</v>
      </c>
      <c r="AA33" s="4">
        <v>3</v>
      </c>
      <c r="AB33" s="20">
        <v>0</v>
      </c>
      <c r="AC33" s="4">
        <v>2</v>
      </c>
      <c r="AD33" s="4">
        <v>2</v>
      </c>
      <c r="AE33" s="4">
        <v>0</v>
      </c>
      <c r="AF33" s="4">
        <v>0</v>
      </c>
      <c r="AG33" s="4">
        <v>0</v>
      </c>
    </row>
    <row r="34" spans="1:33" x14ac:dyDescent="0.25">
      <c r="A34" s="3" t="s">
        <v>199</v>
      </c>
      <c r="B34" s="3" t="s">
        <v>186</v>
      </c>
      <c r="C34" s="3" t="s">
        <v>193</v>
      </c>
      <c r="D34" s="3" t="s">
        <v>194</v>
      </c>
      <c r="E34" s="3" t="s">
        <v>195</v>
      </c>
      <c r="F34" s="3" t="s">
        <v>196</v>
      </c>
      <c r="G34" s="3" t="s">
        <v>197</v>
      </c>
      <c r="H34" s="3" t="s">
        <v>198</v>
      </c>
      <c r="I34" s="3" t="s">
        <v>12</v>
      </c>
      <c r="J34" s="3" t="s">
        <v>16</v>
      </c>
      <c r="K34" s="3" t="s">
        <v>184</v>
      </c>
      <c r="L34" s="3" t="s">
        <v>184</v>
      </c>
      <c r="M34" s="3" t="s">
        <v>16</v>
      </c>
      <c r="N34" s="3" t="s">
        <v>16</v>
      </c>
      <c r="O34" s="3" t="s">
        <v>16</v>
      </c>
      <c r="P34" s="3" t="s">
        <v>16</v>
      </c>
      <c r="Q34" s="3" t="s">
        <v>17</v>
      </c>
      <c r="R34" s="3" t="s">
        <v>17</v>
      </c>
      <c r="S34" s="20">
        <v>0</v>
      </c>
      <c r="T34" s="4">
        <v>2</v>
      </c>
      <c r="U34" s="4">
        <v>2</v>
      </c>
      <c r="V34" s="4">
        <v>31</v>
      </c>
      <c r="W34" s="4">
        <v>41</v>
      </c>
      <c r="X34" s="4">
        <v>72</v>
      </c>
      <c r="Y34" s="4">
        <v>0</v>
      </c>
      <c r="Z34" s="4">
        <v>3</v>
      </c>
      <c r="AA34" s="4">
        <v>3</v>
      </c>
      <c r="AB34" s="20">
        <v>0</v>
      </c>
      <c r="AC34" s="4">
        <v>2</v>
      </c>
      <c r="AD34" s="4">
        <v>2</v>
      </c>
      <c r="AE34" s="4">
        <v>0</v>
      </c>
      <c r="AF34" s="4">
        <v>0</v>
      </c>
      <c r="AG34" s="4">
        <v>0</v>
      </c>
    </row>
    <row r="35" spans="1:33" x14ac:dyDescent="0.25">
      <c r="A35" s="3" t="s">
        <v>200</v>
      </c>
      <c r="B35" s="3" t="s">
        <v>201</v>
      </c>
      <c r="C35" s="3" t="s">
        <v>202</v>
      </c>
      <c r="D35" s="3" t="s">
        <v>203</v>
      </c>
      <c r="E35" s="3" t="s">
        <v>204</v>
      </c>
      <c r="F35" s="3" t="s">
        <v>205</v>
      </c>
      <c r="G35" s="3" t="s">
        <v>206</v>
      </c>
      <c r="H35" s="3" t="s">
        <v>207</v>
      </c>
      <c r="I35" s="3" t="s">
        <v>12</v>
      </c>
      <c r="J35" s="3" t="s">
        <v>208</v>
      </c>
      <c r="K35" s="3" t="s">
        <v>209</v>
      </c>
      <c r="L35" s="3" t="s">
        <v>210</v>
      </c>
      <c r="M35" s="3" t="s">
        <v>181</v>
      </c>
      <c r="N35" s="3" t="s">
        <v>182</v>
      </c>
      <c r="O35" s="3" t="s">
        <v>183</v>
      </c>
      <c r="P35" s="3" t="s">
        <v>211</v>
      </c>
      <c r="Q35" s="3" t="s">
        <v>184</v>
      </c>
      <c r="R35" s="3" t="s">
        <v>87</v>
      </c>
      <c r="S35" s="20">
        <v>29</v>
      </c>
      <c r="T35" s="4">
        <v>17</v>
      </c>
      <c r="U35" s="4">
        <v>46</v>
      </c>
      <c r="V35" s="4">
        <v>210</v>
      </c>
      <c r="W35" s="4">
        <v>216</v>
      </c>
      <c r="X35" s="4">
        <v>426</v>
      </c>
      <c r="Y35" s="4">
        <v>41</v>
      </c>
      <c r="Z35" s="4">
        <v>57</v>
      </c>
      <c r="AA35" s="4">
        <v>98</v>
      </c>
      <c r="AB35" s="20">
        <v>41</v>
      </c>
      <c r="AC35" s="4">
        <v>38</v>
      </c>
      <c r="AD35" s="4">
        <v>79</v>
      </c>
      <c r="AE35" s="4">
        <v>14</v>
      </c>
      <c r="AF35" s="4">
        <v>0</v>
      </c>
      <c r="AG35" s="4">
        <v>14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activeCell="I13" sqref="I13"/>
    </sheetView>
  </sheetViews>
  <sheetFormatPr defaultRowHeight="12.5" x14ac:dyDescent="0.25"/>
  <cols>
    <col min="1" max="1" width="11.08984375" bestFit="1" customWidth="1"/>
    <col min="9" max="9" width="13.81640625" bestFit="1" customWidth="1"/>
    <col min="11" max="11" width="13.81640625" bestFit="1" customWidth="1"/>
  </cols>
  <sheetData>
    <row r="1" spans="1:15" x14ac:dyDescent="0.25">
      <c r="D1" t="s">
        <v>240</v>
      </c>
    </row>
    <row r="2" spans="1:15" ht="14.5" x14ac:dyDescent="0.25">
      <c r="A2" s="1" t="s">
        <v>240</v>
      </c>
      <c r="B2" s="2" t="s">
        <v>227</v>
      </c>
      <c r="C2" s="2"/>
      <c r="D2" s="2"/>
      <c r="E2" s="2" t="s">
        <v>228</v>
      </c>
      <c r="F2" s="2"/>
      <c r="G2" s="2"/>
      <c r="I2" s="3" t="s">
        <v>24</v>
      </c>
      <c r="J2" s="4">
        <v>1</v>
      </c>
      <c r="K2" s="4">
        <v>2</v>
      </c>
      <c r="L2" s="4">
        <v>0</v>
      </c>
      <c r="M2" s="4">
        <v>2</v>
      </c>
      <c r="N2" s="4"/>
      <c r="O2" s="4"/>
    </row>
    <row r="3" spans="1:15" ht="14.5" x14ac:dyDescent="0.25">
      <c r="A3" s="1"/>
      <c r="B3" s="5" t="s">
        <v>229</v>
      </c>
      <c r="C3" s="5" t="s">
        <v>230</v>
      </c>
      <c r="D3" s="5" t="s">
        <v>231</v>
      </c>
      <c r="E3" s="5" t="s">
        <v>229</v>
      </c>
      <c r="F3" s="5" t="s">
        <v>230</v>
      </c>
      <c r="G3" s="5" t="s">
        <v>232</v>
      </c>
      <c r="I3" s="3" t="s">
        <v>36</v>
      </c>
      <c r="J3" s="4">
        <v>0</v>
      </c>
      <c r="K3" s="4">
        <v>0</v>
      </c>
      <c r="L3" s="4">
        <v>0</v>
      </c>
      <c r="M3" s="4">
        <v>0</v>
      </c>
      <c r="N3" s="4"/>
      <c r="O3" s="4"/>
    </row>
    <row r="4" spans="1:15" ht="13" x14ac:dyDescent="0.25">
      <c r="A4" s="6" t="s">
        <v>233</v>
      </c>
      <c r="B4" s="7">
        <v>0</v>
      </c>
      <c r="C4" s="7">
        <v>0</v>
      </c>
      <c r="D4" s="7" t="e">
        <f>B4/C4*100</f>
        <v>#DIV/0!</v>
      </c>
      <c r="E4" s="8">
        <v>5</v>
      </c>
      <c r="F4" s="6">
        <v>5</v>
      </c>
      <c r="G4" s="7">
        <f>E4/F4*100</f>
        <v>100</v>
      </c>
      <c r="I4" s="3" t="s">
        <v>38</v>
      </c>
      <c r="J4" s="4">
        <v>0</v>
      </c>
      <c r="K4" s="4">
        <v>0</v>
      </c>
      <c r="L4" s="4">
        <v>0</v>
      </c>
      <c r="M4" s="4">
        <v>0</v>
      </c>
      <c r="N4" s="4"/>
      <c r="O4" s="4"/>
    </row>
    <row r="5" spans="1:15" ht="13" x14ac:dyDescent="0.25">
      <c r="A5" s="9" t="s">
        <v>234</v>
      </c>
      <c r="B5" s="7">
        <v>6</v>
      </c>
      <c r="C5" s="7">
        <v>16</v>
      </c>
      <c r="D5" s="7">
        <f t="shared" ref="D5:D7" si="0">B5/C5*100</f>
        <v>37.5</v>
      </c>
      <c r="E5" s="10">
        <v>3</v>
      </c>
      <c r="F5" s="6">
        <v>7</v>
      </c>
      <c r="G5" s="7">
        <f t="shared" ref="G5:G7" si="1">E5/F5*100</f>
        <v>42.857142857142854</v>
      </c>
      <c r="I5" s="3" t="s">
        <v>39</v>
      </c>
      <c r="J5" s="4">
        <v>0</v>
      </c>
      <c r="K5" s="4">
        <v>10</v>
      </c>
      <c r="L5" s="4">
        <v>3</v>
      </c>
      <c r="M5" s="4">
        <v>11</v>
      </c>
      <c r="N5" s="4"/>
      <c r="O5" s="4"/>
    </row>
    <row r="6" spans="1:15" ht="13" x14ac:dyDescent="0.25">
      <c r="A6" s="9" t="s">
        <v>235</v>
      </c>
      <c r="B6" s="7">
        <v>0</v>
      </c>
      <c r="C6" s="7">
        <v>10</v>
      </c>
      <c r="D6" s="7">
        <f t="shared" si="0"/>
        <v>0</v>
      </c>
      <c r="E6" s="10">
        <v>3</v>
      </c>
      <c r="F6" s="6">
        <v>11</v>
      </c>
      <c r="G6" s="7">
        <f t="shared" si="1"/>
        <v>27.27272727272727</v>
      </c>
      <c r="I6" s="3" t="s">
        <v>48</v>
      </c>
      <c r="J6" s="4">
        <v>6</v>
      </c>
      <c r="K6" s="4">
        <v>16</v>
      </c>
      <c r="L6" s="4">
        <v>3</v>
      </c>
      <c r="M6" s="4">
        <v>7</v>
      </c>
      <c r="N6" s="4"/>
      <c r="O6" s="4"/>
    </row>
    <row r="7" spans="1:15" ht="13" x14ac:dyDescent="0.25">
      <c r="A7" s="9" t="s">
        <v>236</v>
      </c>
      <c r="B7" s="7">
        <v>1</v>
      </c>
      <c r="C7" s="7">
        <v>2</v>
      </c>
      <c r="D7" s="7">
        <f t="shared" si="0"/>
        <v>50</v>
      </c>
      <c r="E7" s="10">
        <v>0</v>
      </c>
      <c r="F7" s="6">
        <v>2</v>
      </c>
      <c r="G7" s="7">
        <f t="shared" si="1"/>
        <v>0</v>
      </c>
      <c r="I7" s="3" t="s">
        <v>58</v>
      </c>
      <c r="J7" s="4">
        <v>0</v>
      </c>
      <c r="K7" s="4">
        <v>0</v>
      </c>
      <c r="L7" s="4">
        <v>5</v>
      </c>
      <c r="M7" s="4">
        <v>5</v>
      </c>
      <c r="N7" s="4"/>
      <c r="O7" s="4"/>
    </row>
    <row r="8" spans="1:15" ht="13" x14ac:dyDescent="0.25">
      <c r="A8" s="11" t="s">
        <v>237</v>
      </c>
      <c r="B8" s="7">
        <v>7</v>
      </c>
      <c r="C8" s="7">
        <v>28</v>
      </c>
      <c r="D8" s="7">
        <f>B8/C8*100</f>
        <v>25</v>
      </c>
      <c r="E8" s="12">
        <v>11</v>
      </c>
      <c r="F8" s="12">
        <v>25</v>
      </c>
      <c r="G8" s="7">
        <f>E8/F8*100</f>
        <v>44</v>
      </c>
      <c r="I8" s="3" t="s">
        <v>65</v>
      </c>
      <c r="J8" s="4">
        <v>7</v>
      </c>
      <c r="K8" s="4">
        <v>28</v>
      </c>
      <c r="L8" s="4">
        <v>11</v>
      </c>
      <c r="M8" s="4">
        <v>25</v>
      </c>
      <c r="N8" s="4"/>
      <c r="O8" s="4"/>
    </row>
    <row r="9" spans="1:15" x14ac:dyDescent="0.25">
      <c r="A9" s="13"/>
      <c r="B9" s="13"/>
      <c r="C9" s="13"/>
      <c r="D9" s="13"/>
      <c r="E9" s="13"/>
      <c r="F9" s="13"/>
      <c r="G9" s="13"/>
    </row>
    <row r="10" spans="1:15" x14ac:dyDescent="0.25">
      <c r="A10" s="13"/>
      <c r="B10" s="13"/>
      <c r="C10" s="13"/>
      <c r="D10" s="13"/>
      <c r="E10" s="13"/>
      <c r="F10" s="13"/>
      <c r="G10" s="13"/>
    </row>
    <row r="11" spans="1:15" ht="14.5" x14ac:dyDescent="0.25">
      <c r="A11" s="2" t="s">
        <v>240</v>
      </c>
      <c r="B11" s="2" t="s">
        <v>227</v>
      </c>
      <c r="C11" s="2"/>
      <c r="D11" s="2"/>
      <c r="E11" s="2" t="s">
        <v>228</v>
      </c>
      <c r="F11" s="2"/>
      <c r="G11" s="2"/>
      <c r="I11" s="3" t="s">
        <v>119</v>
      </c>
      <c r="J11" s="4">
        <v>1</v>
      </c>
      <c r="K11" s="4">
        <v>1</v>
      </c>
      <c r="L11" s="4">
        <v>0</v>
      </c>
      <c r="M11" s="4">
        <v>0</v>
      </c>
    </row>
    <row r="12" spans="1:15" ht="14.5" x14ac:dyDescent="0.25">
      <c r="A12" s="2"/>
      <c r="B12" s="5" t="s">
        <v>229</v>
      </c>
      <c r="C12" s="5" t="s">
        <v>230</v>
      </c>
      <c r="D12" s="5" t="s">
        <v>231</v>
      </c>
      <c r="E12" s="5" t="s">
        <v>229</v>
      </c>
      <c r="F12" s="5" t="s">
        <v>230</v>
      </c>
      <c r="G12" s="5" t="s">
        <v>232</v>
      </c>
      <c r="I12" s="3" t="s">
        <v>127</v>
      </c>
      <c r="J12" s="4">
        <v>1</v>
      </c>
      <c r="K12" s="4">
        <v>1</v>
      </c>
      <c r="L12" s="4">
        <v>1</v>
      </c>
      <c r="M12" s="4">
        <v>1</v>
      </c>
    </row>
    <row r="13" spans="1:15" ht="14.5" x14ac:dyDescent="0.25">
      <c r="A13" s="5" t="s">
        <v>238</v>
      </c>
      <c r="B13" s="14">
        <v>2</v>
      </c>
      <c r="C13" s="14">
        <v>0</v>
      </c>
      <c r="D13" s="14" t="e">
        <f>B13/C13*100</f>
        <v>#DIV/0!</v>
      </c>
      <c r="E13" s="14">
        <v>2</v>
      </c>
      <c r="F13" s="14">
        <v>6</v>
      </c>
      <c r="G13" s="15">
        <f>E13/F13*100</f>
        <v>33.333333333333329</v>
      </c>
      <c r="I13" s="3" t="s">
        <v>133</v>
      </c>
      <c r="J13" s="4">
        <v>1</v>
      </c>
      <c r="K13" s="4">
        <v>1</v>
      </c>
      <c r="L13" s="4">
        <v>4</v>
      </c>
      <c r="M13" s="4">
        <v>4</v>
      </c>
    </row>
    <row r="14" spans="1:15" ht="14.5" x14ac:dyDescent="0.25">
      <c r="A14" s="5" t="s">
        <v>119</v>
      </c>
      <c r="B14" s="14">
        <v>1</v>
      </c>
      <c r="C14" s="14">
        <v>1</v>
      </c>
      <c r="D14" s="14">
        <f t="shared" ref="D14:D17" si="2">B14/C14*100</f>
        <v>100</v>
      </c>
      <c r="E14" s="14">
        <v>0</v>
      </c>
      <c r="F14" s="14">
        <v>0</v>
      </c>
      <c r="G14" s="15" t="e">
        <f t="shared" ref="G14:G18" si="3">E14/F14*100</f>
        <v>#DIV/0!</v>
      </c>
      <c r="I14" s="3" t="s">
        <v>139</v>
      </c>
      <c r="J14" s="4">
        <v>0</v>
      </c>
      <c r="K14" s="4">
        <v>0</v>
      </c>
      <c r="L14" s="4">
        <v>0</v>
      </c>
      <c r="M14" s="4">
        <v>0</v>
      </c>
    </row>
    <row r="15" spans="1:15" ht="14.5" x14ac:dyDescent="0.25">
      <c r="A15" s="5" t="s">
        <v>127</v>
      </c>
      <c r="B15" s="14">
        <v>1</v>
      </c>
      <c r="C15" s="14">
        <v>1</v>
      </c>
      <c r="D15" s="14">
        <f t="shared" si="2"/>
        <v>100</v>
      </c>
      <c r="E15" s="14">
        <v>1</v>
      </c>
      <c r="F15" s="14">
        <v>1</v>
      </c>
      <c r="G15" s="15">
        <f t="shared" si="3"/>
        <v>100</v>
      </c>
      <c r="I15" s="3" t="s">
        <v>140</v>
      </c>
      <c r="J15" s="4">
        <v>3</v>
      </c>
      <c r="K15" s="4">
        <v>3</v>
      </c>
      <c r="L15" s="4">
        <v>5</v>
      </c>
      <c r="M15" s="4">
        <v>5</v>
      </c>
    </row>
    <row r="16" spans="1:15" ht="14.5" x14ac:dyDescent="0.25">
      <c r="A16" s="5" t="s">
        <v>133</v>
      </c>
      <c r="B16" s="14">
        <v>1</v>
      </c>
      <c r="C16" s="14">
        <v>1</v>
      </c>
      <c r="D16" s="15">
        <f t="shared" si="2"/>
        <v>100</v>
      </c>
      <c r="E16" s="14">
        <v>4</v>
      </c>
      <c r="F16" s="14">
        <v>4</v>
      </c>
      <c r="G16" s="15">
        <f t="shared" si="3"/>
        <v>100</v>
      </c>
    </row>
    <row r="17" spans="1:7" ht="14.5" x14ac:dyDescent="0.25">
      <c r="A17" s="5" t="s">
        <v>140</v>
      </c>
      <c r="B17" s="14">
        <v>3</v>
      </c>
      <c r="C17" s="14">
        <v>3</v>
      </c>
      <c r="D17" s="14">
        <f t="shared" si="2"/>
        <v>100</v>
      </c>
      <c r="E17" s="14">
        <v>5</v>
      </c>
      <c r="F17" s="14">
        <v>5</v>
      </c>
      <c r="G17" s="15">
        <f t="shared" si="3"/>
        <v>100</v>
      </c>
    </row>
    <row r="18" spans="1:7" ht="14.5" x14ac:dyDescent="0.25">
      <c r="A18" s="5" t="s">
        <v>239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5" t="e">
        <f t="shared" si="3"/>
        <v>#DIV/0!</v>
      </c>
    </row>
  </sheetData>
  <mergeCells count="6">
    <mergeCell ref="A2:A3"/>
    <mergeCell ref="B2:D2"/>
    <mergeCell ref="E2:G2"/>
    <mergeCell ref="A11:A12"/>
    <mergeCell ref="B11:D11"/>
    <mergeCell ref="E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2023-12-27T12:31:35Z</dcterms:modified>
  <cp:category/>
</cp:coreProperties>
</file>